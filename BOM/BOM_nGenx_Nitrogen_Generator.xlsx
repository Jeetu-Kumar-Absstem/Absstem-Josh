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'Service_Parts'!A1:S63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nGenx Nitrogen Generator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11 models and starts with 22 suggested service rows.</v>
      </c>
    </row>
    <row r="41">
      <c r="A41" t="str">
        <v>Models: nGenx 01, nGenx 02, nGenx 04, nGenx 07, nGenx 08, nGenx 10, nGenx001, nGenx002, nGenx004, nGenx007, NGN2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63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nGenx 01</v>
      </c>
      <c r="J1" t="str">
        <v>nGenx 02</v>
      </c>
      <c r="K1" t="str">
        <v>nGenx 04</v>
      </c>
      <c r="L1" t="str">
        <v>nGenx 07</v>
      </c>
      <c r="M1" t="str">
        <v>nGenx 08</v>
      </c>
      <c r="N1" t="str">
        <v>nGenx 10</v>
      </c>
      <c r="O1" t="str">
        <v>nGenx001</v>
      </c>
      <c r="P1" t="str">
        <v>nGenx002</v>
      </c>
      <c r="Q1" t="str">
        <v>nGenx004</v>
      </c>
      <c r="R1" t="str">
        <v>nGenx007</v>
      </c>
      <c r="S1" t="str">
        <v>NGN2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>service_log (1x)</v>
      </c>
      <c r="H2" t="str">
        <v>Service fitted "controller" — supply the item code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>service_log (2x)</v>
      </c>
      <c r="H3" t="str">
        <v>Service fitted "line filter" — supply the item code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>service_log (2x)</v>
      </c>
      <c r="H4" t="str">
        <v>Service fitted "oxygen sensor" — supply the item code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>service_log (1x)</v>
      </c>
      <c r="H5" t="str">
        <v>Service fitted "dryer compressor" — supply the item code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>service_log (1x)</v>
      </c>
      <c r="H6" t="str">
        <v>Service fitted "dryer sensor" — supply the item code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>service_log (1x)</v>
      </c>
      <c r="H7" t="str">
        <v>Service fitted "dryer relay" — supply the item code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>service_log (1x)</v>
      </c>
      <c r="H8" t="str">
        <v>Service fitted "input compressor" — supply the item code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>service_log (1x)</v>
      </c>
      <c r="H9" t="str">
        <v>Service fitted "radiator" — supply the item code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>service_log (1x)</v>
      </c>
      <c r="H10" t="str">
        <v>Service fitted "oil filter" — supply the item code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>service_log (1x)</v>
      </c>
      <c r="H11" t="str">
        <v>Service fitted "oil" — supply the item code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>service_log (1x)</v>
      </c>
      <c r="H12" t="str">
        <v>Service fitted "n2 generator filter elements" — supply the item code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>service_log (1x)</v>
      </c>
      <c r="H13" t="str">
        <v>Service fitted "n2 ot sensor" — supply the item code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>service_log (2x)</v>
      </c>
      <c r="H14" t="str">
        <v>Service fitted "filter elements" — supply the item code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>service_log (2x)</v>
      </c>
      <c r="H15" t="str">
        <v>Service fitted "sensor" — supply the item code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>service_log (1x)</v>
      </c>
      <c r="H16" t="str">
        <v>Service fitted "filyter elements" — supply the item code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>service_log (1x)</v>
      </c>
      <c r="H17" t="str">
        <v>Service fitted "filter regulator" — supply the item code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AONAV050</v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>invoices (1)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ASH20</v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>invoices (1)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ASH306</v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>invoices (2)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ASH307</v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>invoices (2)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ASH308</v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>invoices (2)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ASH49</v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>invoices (1)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/>
      </c>
      <c r="B42" t="str">
        <f>IFERROR(VLOOKUP($A42,Components!$A:$B,2,FALSE),IF($A42="","","NOT FOUND — check the Components sheet"))</f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/>
      </c>
      <c r="B43" t="str">
        <f>IFERROR(VLOOKUP($A43,Components!$A:$B,2,FALSE),IF($A43="","","NOT FOUND — check the Components sheet"))</f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/>
      </c>
      <c r="B44" t="str">
        <f>IFERROR(VLOOKUP($A44,Components!$A:$B,2,FALSE),IF($A44="","","NOT FOUND — check the Components sheet"))</f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/>
      </c>
      <c r="B45" t="str">
        <f>IFERROR(VLOOKUP($A45,Components!$A:$B,2,FALSE),IF($A45="","","NOT FOUND — check the Components sheet"))</f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/>
      </c>
      <c r="B46" t="str">
        <f>IFERROR(VLOOKUP($A46,Components!$A:$B,2,FALSE),IF($A46="","","NOT FOUND — check the Components sheet"))</f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/>
      </c>
      <c r="B47" t="str">
        <f>IFERROR(VLOOKUP($A47,Components!$A:$B,2,FALSE),IF($A47="","","NOT FOUND — check the Components sheet"))</f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/>
      </c>
      <c r="B48" t="str">
        <f>IFERROR(VLOOKUP($A48,Components!$A:$B,2,FALSE),IF($A48="","","NOT FOUND — check the Components sheet"))</f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/>
      </c>
      <c r="B49" t="str">
        <f>IFERROR(VLOOKUP($A49,Components!$A:$B,2,FALSE),IF($A49="","","NOT FOUND — check the Components sheet"))</f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/>
      </c>
      <c r="B50" t="str">
        <f>IFERROR(VLOOKUP($A50,Components!$A:$B,2,FALSE),IF($A50="","","NOT FOUND — check the Components sheet"))</f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/>
      </c>
      <c r="B51" t="str">
        <f>IFERROR(VLOOKUP($A51,Components!$A:$B,2,FALSE),IF($A51="","","NOT FOUND — check the Components sheet"))</f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/>
      </c>
      <c r="B52" t="str">
        <f>IFERROR(VLOOKUP($A52,Components!$A:$B,2,FALSE),IF($A52="","","NOT FOUND — check the Components sheet"))</f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/>
      </c>
      <c r="B53" t="str">
        <f>IFERROR(VLOOKUP($A53,Components!$A:$B,2,FALSE),IF($A53="","","NOT FOUND — check the Components sheet"))</f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/>
      </c>
      <c r="B54" t="str">
        <f>IFERROR(VLOOKUP($A54,Components!$A:$B,2,FALSE),IF($A54="","","NOT FOUND — check the Components sheet"))</f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/>
      </c>
      <c r="B55" t="str">
        <f>IFERROR(VLOOKUP($A55,Components!$A:$B,2,FALSE),IF($A55="","","NOT FOUND — check the Components sheet"))</f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/>
      </c>
      <c r="B56" t="str">
        <f>IFERROR(VLOOKUP($A56,Components!$A:$B,2,FALSE),IF($A56="","","NOT FOUND — check the Components sheet"))</f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/>
      </c>
      <c r="B57" t="str">
        <f>IFERROR(VLOOKUP($A57,Components!$A:$B,2,FALSE),IF($A57="","","NOT FOUND — check the Components sheet"))</f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/>
      </c>
      <c r="B58" t="str">
        <f>IFERROR(VLOOKUP($A58,Components!$A:$B,2,FALSE),IF($A58="","","NOT FOUND — check the Components sheet"))</f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/>
      </c>
      <c r="B59" t="str">
        <f>IFERROR(VLOOKUP($A59,Components!$A:$B,2,FALSE),IF($A59="","","NOT FOUND — check the Components sheet"))</f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/>
      </c>
      <c r="B60" t="str">
        <f>IFERROR(VLOOKUP($A60,Components!$A:$B,2,FALSE),IF($A60="","","NOT FOUND — check the Components sheet"))</f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/>
      </c>
      <c r="B61" t="str">
        <f>IFERROR(VLOOKUP($A61,Components!$A:$B,2,FALSE),IF($A61="","","NOT FOUND — check the Components sheet"))</f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 t="str">
        <v/>
      </c>
      <c r="B62" t="str">
        <f>IFERROR(VLOOKUP($A62,Components!$A:$B,2,FALSE),IF($A62="","","NOT FOUND — check the Components sheet"))</f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/>
      </c>
      <c r="B63" t="str">
        <f>IFERROR(VLOOKUP($A63,Components!$A:$B,2,FALSE),IF($A63="","","NOT FOUND — check the Components sheet"))</f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</sheetData>
  <autoFilter ref="A1:S63"/>
  <ignoredErrors>
    <ignoredError numberStoredAsText="1" sqref="A1:S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nGenx 01</v>
      </c>
      <c r="B2">
        <f>COUNT(Service_Parts!I2:I63)</f>
        <v>0</v>
      </c>
      <c r="C2" t="str">
        <v/>
      </c>
      <c r="D2" t="str">
        <v/>
      </c>
      <c r="E2" t="str">
        <v/>
      </c>
      <c r="F2" t="str">
        <v/>
      </c>
    </row>
    <row r="3">
      <c r="A3" t="str">
        <v>nGenx 02</v>
      </c>
      <c r="B3">
        <f>COUNT(Service_Parts!J2:J63)</f>
        <v>0</v>
      </c>
      <c r="C3" t="str">
        <v/>
      </c>
      <c r="D3" t="str">
        <v/>
      </c>
      <c r="E3" t="str">
        <v/>
      </c>
      <c r="F3" t="str">
        <v/>
      </c>
    </row>
    <row r="4">
      <c r="A4" t="str">
        <v>nGenx 04</v>
      </c>
      <c r="B4">
        <f>COUNT(Service_Parts!K2:K63)</f>
        <v>0</v>
      </c>
      <c r="C4" t="str">
        <v/>
      </c>
      <c r="D4" t="str">
        <v/>
      </c>
      <c r="E4" t="str">
        <v/>
      </c>
      <c r="F4" t="str">
        <v/>
      </c>
    </row>
    <row r="5">
      <c r="A5" t="str">
        <v>nGenx 07</v>
      </c>
      <c r="B5">
        <f>COUNT(Service_Parts!L2:L63)</f>
        <v>0</v>
      </c>
      <c r="C5" t="str">
        <v/>
      </c>
      <c r="D5" t="str">
        <v/>
      </c>
      <c r="E5" t="str">
        <v/>
      </c>
      <c r="F5" t="str">
        <v/>
      </c>
    </row>
    <row r="6">
      <c r="A6" t="str">
        <v>nGenx 08</v>
      </c>
      <c r="B6">
        <f>COUNT(Service_Parts!M2:M63)</f>
        <v>0</v>
      </c>
      <c r="C6" t="str">
        <v/>
      </c>
      <c r="D6" t="str">
        <v/>
      </c>
      <c r="E6" t="str">
        <v/>
      </c>
      <c r="F6" t="str">
        <v/>
      </c>
    </row>
    <row r="7">
      <c r="A7" t="str">
        <v>nGenx 10</v>
      </c>
      <c r="B7">
        <f>COUNT(Service_Parts!N2:N63)</f>
        <v>0</v>
      </c>
      <c r="C7" t="str">
        <v/>
      </c>
      <c r="D7" t="str">
        <v/>
      </c>
      <c r="E7" t="str">
        <v/>
      </c>
      <c r="F7" t="str">
        <v/>
      </c>
    </row>
    <row r="8">
      <c r="A8" t="str">
        <v>nGenx001</v>
      </c>
      <c r="B8">
        <f>COUNT(Service_Parts!O2:O63)</f>
        <v>0</v>
      </c>
      <c r="C8" t="str">
        <v/>
      </c>
      <c r="D8" t="str">
        <v/>
      </c>
      <c r="E8" t="str">
        <v/>
      </c>
      <c r="F8" t="str">
        <v/>
      </c>
    </row>
    <row r="9">
      <c r="A9" t="str">
        <v>nGenx002</v>
      </c>
      <c r="B9">
        <f>COUNT(Service_Parts!P2:P63)</f>
        <v>0</v>
      </c>
      <c r="C9" t="str">
        <v/>
      </c>
      <c r="D9" t="str">
        <v/>
      </c>
      <c r="E9" t="str">
        <v/>
      </c>
      <c r="F9" t="str">
        <v/>
      </c>
    </row>
    <row r="10">
      <c r="A10" t="str">
        <v>nGenx004</v>
      </c>
      <c r="B10">
        <f>COUNT(Service_Parts!Q2:Q63)</f>
        <v>0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nGenx007</v>
      </c>
      <c r="B11">
        <f>COUNT(Service_Parts!R2:R63)</f>
        <v>0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NGN2</v>
      </c>
      <c r="B12">
        <f>COUNT(Service_Parts!S2:S63)</f>
        <v>0</v>
      </c>
      <c r="C12" t="str">
        <v/>
      </c>
      <c r="D12" t="str">
        <v/>
      </c>
      <c r="E12" t="str">
        <v/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