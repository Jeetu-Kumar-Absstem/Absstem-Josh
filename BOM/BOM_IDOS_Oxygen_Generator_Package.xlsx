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'Service_Parts'!A1:N51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IDOS Oxygen Generator Package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6 models and starts with 10 suggested service rows.</v>
      </c>
    </row>
    <row r="41">
      <c r="A41" t="str">
        <v>Models: IDOS 09, nGen 100P, nGen 10P, nGen 30P, nGen 40P, nGen 50P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  <col min="10" max="10" width="11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IDOS 09</v>
      </c>
      <c r="J1" t="str">
        <v>nGen 100P</v>
      </c>
      <c r="K1" t="str">
        <v>nGen 10P</v>
      </c>
      <c r="L1" t="str">
        <v>nGen 30P</v>
      </c>
      <c r="M1" t="str">
        <v>nGen 40P</v>
      </c>
      <c r="N1" t="str">
        <v>nGen 50P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>service_log (2x)</v>
      </c>
      <c r="H2" t="str">
        <v>Service fitted "filter elements" — supply the item code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>service_log (1x)</v>
      </c>
      <c r="H3" t="str">
        <v>Service fitted "air line prv" — supply the item code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>service_log (1x)</v>
      </c>
      <c r="H4" t="str">
        <v>Service fitted "filter elelements" — supply the item code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>service_log (1x)</v>
      </c>
      <c r="H5" t="str">
        <v>Service fitted "oxygen sensor" — supply the item code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AONAF025A</v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>invoices (1)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AONAF025C</v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>invoices (1)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AONAF025O</v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>invoices (1)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ASH133</v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>invoices (1)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ASH134</v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>invoices (1)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ASH135</v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>invoices (1)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/>
      </c>
      <c r="B42" t="str">
        <f>IFERROR(VLOOKUP($A42,Components!$A:$B,2,FALSE),IF($A42="","","NOT FOUND — check the Components sheet"))</f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/>
      </c>
      <c r="B43" t="str">
        <f>IFERROR(VLOOKUP($A43,Components!$A:$B,2,FALSE),IF($A43="","","NOT FOUND — check the Components sheet"))</f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/>
      </c>
      <c r="B44" t="str">
        <f>IFERROR(VLOOKUP($A44,Components!$A:$B,2,FALSE),IF($A44="","","NOT FOUND — check the Components sheet"))</f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5">
      <c r="A45" t="str">
        <v/>
      </c>
      <c r="B45" t="str">
        <f>IFERROR(VLOOKUP($A45,Components!$A:$B,2,FALSE),IF($A45="","","NOT FOUND — check the Components sheet"))</f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6">
      <c r="A46" t="str">
        <v/>
      </c>
      <c r="B46" t="str">
        <f>IFERROR(VLOOKUP($A46,Components!$A:$B,2,FALSE),IF($A46="","","NOT FOUND — check the Components sheet"))</f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</row>
    <row r="47">
      <c r="A47" t="str">
        <v/>
      </c>
      <c r="B47" t="str">
        <f>IFERROR(VLOOKUP($A47,Components!$A:$B,2,FALSE),IF($A47="","","NOT FOUND — check the Components sheet"))</f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/>
      </c>
      <c r="B48" t="str">
        <f>IFERROR(VLOOKUP($A48,Components!$A:$B,2,FALSE),IF($A48="","","NOT FOUND — check the Components sheet"))</f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49">
      <c r="A49" t="str">
        <v/>
      </c>
      <c r="B49" t="str">
        <f>IFERROR(VLOOKUP($A49,Components!$A:$B,2,FALSE),IF($A49="","","NOT FOUND — check the Components sheet"))</f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</row>
    <row r="50">
      <c r="A50" t="str">
        <v/>
      </c>
      <c r="B50" t="str">
        <f>IFERROR(VLOOKUP($A50,Components!$A:$B,2,FALSE),IF($A50="","","NOT FOUND — check the Components sheet"))</f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</row>
    <row r="51">
      <c r="A51" t="str">
        <v/>
      </c>
      <c r="B51" t="str">
        <f>IFERROR(VLOOKUP($A51,Components!$A:$B,2,FALSE),IF($A51="","","NOT FOUND — check the Components sheet"))</f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</sheetData>
  <autoFilter ref="A1:N51"/>
  <ignoredErrors>
    <ignoredError numberStoredAsText="1" sqref="A1:N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IDOS 09</v>
      </c>
      <c r="B2">
        <f>COUNT(Service_Parts!I2:I51)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nGen 100P</v>
      </c>
      <c r="B3">
        <f>COUNT(Service_Parts!J2:J51)</f>
        <v>0</v>
      </c>
      <c r="C3" t="str">
        <v/>
      </c>
      <c r="D3" t="str">
        <v/>
      </c>
      <c r="E3" t="str">
        <v/>
      </c>
      <c r="F3" t="str">
        <v/>
      </c>
    </row>
    <row r="4">
      <c r="A4" t="str">
        <v>nGen 10P</v>
      </c>
      <c r="B4">
        <f>COUNT(Service_Parts!K2:K51)</f>
        <v>0</v>
      </c>
      <c r="C4" t="str">
        <v/>
      </c>
      <c r="D4" t="str">
        <v/>
      </c>
      <c r="E4" t="str">
        <v/>
      </c>
      <c r="F4" t="str">
        <v/>
      </c>
    </row>
    <row r="5">
      <c r="A5" t="str">
        <v>nGen 30P</v>
      </c>
      <c r="B5">
        <f>COUNT(Service_Parts!L2:L51)</f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nGen 40P</v>
      </c>
      <c r="B6">
        <f>COUNT(Service_Parts!M2:M51)</f>
        <v>0</v>
      </c>
      <c r="C6" t="str">
        <v/>
      </c>
      <c r="D6" t="str">
        <v/>
      </c>
      <c r="E6" t="str">
        <v/>
      </c>
      <c r="F6" t="str">
        <v/>
      </c>
    </row>
    <row r="7">
      <c r="A7" t="str">
        <v>nGen 50P</v>
      </c>
      <c r="B7">
        <f>COUNT(Service_Parts!N2:N51)</f>
        <v>0</v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