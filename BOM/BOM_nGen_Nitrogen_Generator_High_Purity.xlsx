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Full_BOM" sheetId="3" r:id="rId3"/>
    <sheet name="Components" sheetId="4" r:id="rId4"/>
    <sheet name="New_Parts_Needed" sheetId="5" r:id="rId5"/>
    <sheet name="Progress" sheetId="6" r:id="rId6"/>
  </sheets>
  <definedNames>
    <definedName name="_xlnm._FilterDatabase" localSheetId="1">'Service_Parts'!A1:N70</definedName>
    <definedName name="_xlnm._FilterDatabase" localSheetId="2">'Full_BOM'!A1:J70</definedName>
    <definedName name="_xlnm._FilterDatabase" localSheetId="3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nGen Nitrogen Generator High Purity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Full_BOM: the complete build list for each model. Production plans and kits from this.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6 models and starts with 29 suggested service rows.</v>
      </c>
    </row>
    <row r="41">
      <c r="A41" t="str">
        <v>Models: nGEN005SH, nGEN007SH, nGEN010SH, nGEN055SH, nGEN085SH, nGEN120SH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nGEN005SH</v>
      </c>
      <c r="J1" t="str">
        <v>nGEN007SH</v>
      </c>
      <c r="K1" t="str">
        <v>nGEN010SH</v>
      </c>
      <c r="L1" t="str">
        <v>nGEN055SH</v>
      </c>
      <c r="M1" t="str">
        <v>nGEN085SH</v>
      </c>
      <c r="N1" t="str">
        <v>nGEN120SH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>service_log (1x)</v>
      </c>
      <c r="H2" t="str">
        <v>Service fitted "prv" — supply the item code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>service_log (1x)</v>
      </c>
      <c r="H3" t="str">
        <v>Service fitted "pressure guage" — supply the item code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>service_log (1x)</v>
      </c>
      <c r="H4" t="str">
        <v>Service fitted "n2 generator panel hmi" — supply the item code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>service_log (1x)</v>
      </c>
      <c r="H5" t="str">
        <v>Service fitted "nrv" — supply the item code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>service_log (1x)</v>
      </c>
      <c r="H6" t="str">
        <v>Service fitted "oil" — supply the item code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>service_log (1x)</v>
      </c>
      <c r="H7" t="str">
        <v>Service fitted "filter elememt" — supply the item code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>service_log (1x)</v>
      </c>
      <c r="H8" t="str">
        <v>Service fitted "iot" — supply the item code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AONAV100</v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>invoices (1)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AONAV150</v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>invoices (1)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ASH133</v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>invoices (1)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ASH134</v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>invoices (1)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ASH135</v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>invoices (1)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ASH155</v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>invoices (1)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ASH20</v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>invoices (2)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ASH220</v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>invoices (1)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ASH311</v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>invoices (1)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ASH313</v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>invoices (1)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ASH314</v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>invoices (1)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ASH321</v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>invoices (1)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ASH322</v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>invoices (1)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ASH430</v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>invoices (2)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ASH440</v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>invoices (2)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ASH441</v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>invoices (2)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ASH49</v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>invoices (1)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ASH496</v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>invoices (2)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ASH497</v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>invoices (2)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ASH498</v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>invoices (2)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ASH60</v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>invoices (1)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ASH74</v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>invoices (1)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/>
      </c>
      <c r="B50" t="str">
        <f>IFERROR(VLOOKUP($A50,Components!$A:$B,2,FALSE),IF($A50="","","NOT FOUND — check the Components sheet"))</f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/>
      </c>
      <c r="B51" t="str">
        <f>IFERROR(VLOOKUP($A51,Components!$A:$B,2,FALSE),IF($A51="","","NOT FOUND — check the Components sheet"))</f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/>
      </c>
      <c r="B52" t="str">
        <f>IFERROR(VLOOKUP($A52,Components!$A:$B,2,FALSE),IF($A52="","","NOT FOUND — check the Components sheet"))</f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/>
      </c>
      <c r="B53" t="str">
        <f>IFERROR(VLOOKUP($A53,Components!$A:$B,2,FALSE),IF($A53="","","NOT FOUND — check the Components sheet"))</f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/>
      </c>
      <c r="B54" t="str">
        <f>IFERROR(VLOOKUP($A54,Components!$A:$B,2,FALSE),IF($A54="","","NOT FOUND — check the Components sheet"))</f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/>
      </c>
      <c r="B55" t="str">
        <f>IFERROR(VLOOKUP($A55,Components!$A:$B,2,FALSE),IF($A55="","","NOT FOUND — check the Components sheet"))</f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/>
      </c>
      <c r="B56" t="str">
        <f>IFERROR(VLOOKUP($A56,Components!$A:$B,2,FALSE),IF($A56="","","NOT FOUND — check the Components sheet"))</f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/>
      </c>
      <c r="B57" t="str">
        <f>IFERROR(VLOOKUP($A57,Components!$A:$B,2,FALSE),IF($A57="","","NOT FOUND — check the Components sheet"))</f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/>
      </c>
      <c r="B58" t="str">
        <f>IFERROR(VLOOKUP($A58,Components!$A:$B,2,FALSE),IF($A58="","","NOT FOUND — check the Components sheet"))</f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/>
      </c>
      <c r="B59" t="str">
        <f>IFERROR(VLOOKUP($A59,Components!$A:$B,2,FALSE),IF($A59="","","NOT FOUND — check the Components sheet"))</f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/>
      </c>
      <c r="B60" t="str">
        <f>IFERROR(VLOOKUP($A60,Components!$A:$B,2,FALSE),IF($A60="","","NOT FOUND — check the Components sheet"))</f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/>
      </c>
      <c r="B61" t="str">
        <f>IFERROR(VLOOKUP($A61,Components!$A:$B,2,FALSE),IF($A61="","","NOT FOUND — check the Components sheet"))</f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/>
      </c>
      <c r="B62" t="str">
        <f>IFERROR(VLOOKUP($A62,Components!$A:$B,2,FALSE),IF($A62="","","NOT FOUND — check the Components sheet"))</f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/>
      </c>
      <c r="B63" t="str">
        <f>IFERROR(VLOOKUP($A63,Components!$A:$B,2,FALSE),IF($A63="","","NOT FOUND — check the Components sheet"))</f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/>
      </c>
      <c r="B64" t="str">
        <f>IFERROR(VLOOKUP($A64,Components!$A:$B,2,FALSE),IF($A64="","","NOT FOUND — check the Components sheet"))</f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/>
      </c>
      <c r="B65" t="str">
        <f>IFERROR(VLOOKUP($A65,Components!$A:$B,2,FALSE),IF($A65="","","NOT FOUND — check the Components sheet"))</f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/>
      </c>
      <c r="B66" t="str">
        <f>IFERROR(VLOOKUP($A66,Components!$A:$B,2,FALSE),IF($A66="","","NOT FOUND — check the Components sheet"))</f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/>
      </c>
      <c r="B67" t="str">
        <f>IFERROR(VLOOKUP($A67,Components!$A:$B,2,FALSE),IF($A67="","","NOT FOUND — check the Components sheet"))</f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/>
      </c>
      <c r="B68" t="str">
        <f>IFERROR(VLOOKUP($A68,Components!$A:$B,2,FALSE),IF($A68="","","NOT FOUND — check the Components sheet"))</f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/>
      </c>
      <c r="B69" t="str">
        <f>IFERROR(VLOOKUP($A69,Components!$A:$B,2,FALSE),IF($A69="","","NOT FOUND — check the Components sheet"))</f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/>
      </c>
      <c r="B70" t="str">
        <f>IFERROR(VLOOKUP($A70,Components!$A:$B,2,FALSE),IF($A70="","","NOT FOUND — check the Components sheet"))</f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</row>
  </sheetData>
  <autoFilter ref="A1:N70"/>
  <ignoredErrors>
    <ignoredError numberStoredAsText="1" sqref="A1:N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cols>
    <col min="1" max="1" width="16.83203125" customWidth="1"/>
    <col min="2" max="2" width="42.83203125" customWidth="1"/>
    <col min="3" max="3" width="26.83203125" customWidth="1"/>
    <col min="4" max="4" width="26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</cols>
  <sheetData>
    <row r="1">
      <c r="A1" t="str">
        <v>item_code</v>
      </c>
      <c r="B1" t="str">
        <v>component_name</v>
      </c>
      <c r="C1" t="str">
        <v>suggested_from</v>
      </c>
      <c r="D1" t="str">
        <v>notes</v>
      </c>
      <c r="E1" t="str">
        <v>nGEN005SH</v>
      </c>
      <c r="F1" t="str">
        <v>nGEN007SH</v>
      </c>
      <c r="G1" t="str">
        <v>nGEN010SH</v>
      </c>
      <c r="H1" t="str">
        <v>nGEN055SH</v>
      </c>
      <c r="I1" t="str">
        <v>nGEN085SH</v>
      </c>
      <c r="J1" t="str">
        <v>nGEN120SH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>service_log (1x)</v>
      </c>
      <c r="D2" t="str">
        <v>Service fitted "prv" — supply the item code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>service_log (1x)</v>
      </c>
      <c r="D3" t="str">
        <v>Service fitted "pressure guage" — supply the item code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>service_log (1x)</v>
      </c>
      <c r="D4" t="str">
        <v>Service fitted "n2 generator panel hmi" — supply the item code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>service_log (1x)</v>
      </c>
      <c r="D5" t="str">
        <v>Service fitted "nrv" — supply the item code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>service_log (1x)</v>
      </c>
      <c r="D6" t="str">
        <v>Service fitted "oil" — supply the item code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>service_log (1x)</v>
      </c>
      <c r="D7" t="str">
        <v>Service fitted "filter elememt" — supply the item code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>service_log (1x)</v>
      </c>
      <c r="D8" t="str">
        <v>Service fitted "iot" — supply the item code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AONAV100</v>
      </c>
      <c r="B9" t="str">
        <f>IFERROR(VLOOKUP($A9,Components!$A:$B,2,FALSE),IF($A9="","","NOT FOUND — check the Components sheet"))</f>
        <v/>
      </c>
      <c r="C9" t="str">
        <v>invoices (1)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AONAV150</v>
      </c>
      <c r="B10" t="str">
        <f>IFERROR(VLOOKUP($A10,Components!$A:$B,2,FALSE),IF($A10="","","NOT FOUND — check the Components sheet"))</f>
        <v/>
      </c>
      <c r="C10" t="str">
        <v>invoices (1)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ASH133</v>
      </c>
      <c r="B11" t="str">
        <f>IFERROR(VLOOKUP($A11,Components!$A:$B,2,FALSE),IF($A11="","","NOT FOUND — check the Components sheet"))</f>
        <v/>
      </c>
      <c r="C11" t="str">
        <v>invoices (1)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ASH134</v>
      </c>
      <c r="B12" t="str">
        <f>IFERROR(VLOOKUP($A12,Components!$A:$B,2,FALSE),IF($A12="","","NOT FOUND — check the Components sheet"))</f>
        <v/>
      </c>
      <c r="C12" t="str">
        <v>invoices (1)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ASH135</v>
      </c>
      <c r="B13" t="str">
        <f>IFERROR(VLOOKUP($A13,Components!$A:$B,2,FALSE),IF($A13="","","NOT FOUND — check the Components sheet"))</f>
        <v/>
      </c>
      <c r="C13" t="str">
        <v>invoices (1)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ASH155</v>
      </c>
      <c r="B14" t="str">
        <f>IFERROR(VLOOKUP($A14,Components!$A:$B,2,FALSE),IF($A14="","","NOT FOUND — check the Components sheet"))</f>
        <v/>
      </c>
      <c r="C14" t="str">
        <v>invoices (1)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ASH20</v>
      </c>
      <c r="B15" t="str">
        <f>IFERROR(VLOOKUP($A15,Components!$A:$B,2,FALSE),IF($A15="","","NOT FOUND — check the Components sheet"))</f>
        <v/>
      </c>
      <c r="C15" t="str">
        <v>invoices (2)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ASH220</v>
      </c>
      <c r="B16" t="str">
        <f>IFERROR(VLOOKUP($A16,Components!$A:$B,2,FALSE),IF($A16="","","NOT FOUND — check the Components sheet"))</f>
        <v/>
      </c>
      <c r="C16" t="str">
        <v>invoices (1)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ASH311</v>
      </c>
      <c r="B17" t="str">
        <f>IFERROR(VLOOKUP($A17,Components!$A:$B,2,FALSE),IF($A17="","","NOT FOUND — check the Components sheet"))</f>
        <v/>
      </c>
      <c r="C17" t="str">
        <v>invoices (1)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ASH313</v>
      </c>
      <c r="B18" t="str">
        <f>IFERROR(VLOOKUP($A18,Components!$A:$B,2,FALSE),IF($A18="","","NOT FOUND — check the Components sheet"))</f>
        <v/>
      </c>
      <c r="C18" t="str">
        <v>invoices (1)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ASH314</v>
      </c>
      <c r="B19" t="str">
        <f>IFERROR(VLOOKUP($A19,Components!$A:$B,2,FALSE),IF($A19="","","NOT FOUND — check the Components sheet"))</f>
        <v/>
      </c>
      <c r="C19" t="str">
        <v>invoices (1)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ASH321</v>
      </c>
      <c r="B20" t="str">
        <f>IFERROR(VLOOKUP($A20,Components!$A:$B,2,FALSE),IF($A20="","","NOT FOUND — check the Components sheet"))</f>
        <v/>
      </c>
      <c r="C20" t="str">
        <v>invoices (1)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ASH322</v>
      </c>
      <c r="B21" t="str">
        <f>IFERROR(VLOOKUP($A21,Components!$A:$B,2,FALSE),IF($A21="","","NOT FOUND — check the Components sheet"))</f>
        <v/>
      </c>
      <c r="C21" t="str">
        <v>invoices (1)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ASH430</v>
      </c>
      <c r="B22" t="str">
        <f>IFERROR(VLOOKUP($A22,Components!$A:$B,2,FALSE),IF($A22="","","NOT FOUND — check the Components sheet"))</f>
        <v/>
      </c>
      <c r="C22" t="str">
        <v>invoices (2)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ASH440</v>
      </c>
      <c r="B23" t="str">
        <f>IFERROR(VLOOKUP($A23,Components!$A:$B,2,FALSE),IF($A23="","","NOT FOUND — check the Components sheet"))</f>
        <v/>
      </c>
      <c r="C23" t="str">
        <v>invoices (2)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ASH441</v>
      </c>
      <c r="B24" t="str">
        <f>IFERROR(VLOOKUP($A24,Components!$A:$B,2,FALSE),IF($A24="","","NOT FOUND — check the Components sheet"))</f>
        <v/>
      </c>
      <c r="C24" t="str">
        <v>invoices (2)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ASH49</v>
      </c>
      <c r="B25" t="str">
        <f>IFERROR(VLOOKUP($A25,Components!$A:$B,2,FALSE),IF($A25="","","NOT FOUND — check the Components sheet"))</f>
        <v/>
      </c>
      <c r="C25" t="str">
        <v>invoices (1)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ASH496</v>
      </c>
      <c r="B26" t="str">
        <f>IFERROR(VLOOKUP($A26,Components!$A:$B,2,FALSE),IF($A26="","","NOT FOUND — check the Components sheet"))</f>
        <v/>
      </c>
      <c r="C26" t="str">
        <v>invoices (2)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ASH497</v>
      </c>
      <c r="B27" t="str">
        <f>IFERROR(VLOOKUP($A27,Components!$A:$B,2,FALSE),IF($A27="","","NOT FOUND — check the Components sheet"))</f>
        <v/>
      </c>
      <c r="C27" t="str">
        <v>invoices (2)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ASH498</v>
      </c>
      <c r="B28" t="str">
        <f>IFERROR(VLOOKUP($A28,Components!$A:$B,2,FALSE),IF($A28="","","NOT FOUND — check the Components sheet"))</f>
        <v/>
      </c>
      <c r="C28" t="str">
        <v>invoices (2)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ASH60</v>
      </c>
      <c r="B29" t="str">
        <f>IFERROR(VLOOKUP($A29,Components!$A:$B,2,FALSE),IF($A29="","","NOT FOUND — check the Components sheet"))</f>
        <v/>
      </c>
      <c r="C29" t="str">
        <v>invoices (1)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ASH74</v>
      </c>
      <c r="B30" t="str">
        <f>IFERROR(VLOOKUP($A30,Components!$A:$B,2,FALSE),IF($A30="","","NOT FOUND — check the Components sheet"))</f>
        <v/>
      </c>
      <c r="C30" t="str">
        <v>invoices (1)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f>IFERROR(VLOOKUP($A50,Components!$A:$B,2,FALSE),IF($A50="","","NOT FOUND — check the Components sheet"))</f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f>IFERROR(VLOOKUP($A51,Components!$A:$B,2,FALSE),IF($A51="","","NOT FOUND — check the Components sheet"))</f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f>IFERROR(VLOOKUP($A52,Components!$A:$B,2,FALSE),IF($A52="","","NOT FOUND — check the Components sheet"))</f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f>IFERROR(VLOOKUP($A53,Components!$A:$B,2,FALSE),IF($A53="","","NOT FOUND — check the Components sheet"))</f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f>IFERROR(VLOOKUP($A54,Components!$A:$B,2,FALSE),IF($A54="","","NOT FOUND — check the Components sheet"))</f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f>IFERROR(VLOOKUP($A55,Components!$A:$B,2,FALSE),IF($A55="","","NOT FOUND — check the Components sheet"))</f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f>IFERROR(VLOOKUP($A56,Components!$A:$B,2,FALSE),IF($A56="","","NOT FOUND — check the Components sheet"))</f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f>IFERROR(VLOOKUP($A57,Components!$A:$B,2,FALSE),IF($A57="","","NOT FOUND — check the Components sheet"))</f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f>IFERROR(VLOOKUP($A58,Components!$A:$B,2,FALSE),IF($A58="","","NOT FOUND — check the Components sheet"))</f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f>IFERROR(VLOOKUP($A59,Components!$A:$B,2,FALSE),IF($A59="","","NOT FOUND — check the Components sheet"))</f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f>IFERROR(VLOOKUP($A60,Components!$A:$B,2,FALSE),IF($A60="","","NOT FOUND — check the Components sheet"))</f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f>IFERROR(VLOOKUP($A61,Components!$A:$B,2,FALSE),IF($A61="","","NOT FOUND — check the Components sheet"))</f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f>IFERROR(VLOOKUP($A62,Components!$A:$B,2,FALSE),IF($A62="","","NOT FOUND — check the Components sheet"))</f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f>IFERROR(VLOOKUP($A63,Components!$A:$B,2,FALSE),IF($A63="","","NOT FOUND — check the Components sheet"))</f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f>IFERROR(VLOOKUP($A64,Components!$A:$B,2,FALSE),IF($A64="","","NOT FOUND — check the Components sheet"))</f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f>IFERROR(VLOOKUP($A65,Components!$A:$B,2,FALSE),IF($A65="","","NOT FOUND — check the Components sheet"))</f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f>IFERROR(VLOOKUP($A66,Components!$A:$B,2,FALSE),IF($A66="","","NOT FOUND — check the Components sheet"))</f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f>IFERROR(VLOOKUP($A67,Components!$A:$B,2,FALSE),IF($A67="","","NOT FOUND — check the Components sheet"))</f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f>IFERROR(VLOOKUP($A68,Components!$A:$B,2,FALSE),IF($A68="","","NOT FOUND — check the Components sheet"))</f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f>IFERROR(VLOOKUP($A69,Components!$A:$B,2,FALSE),IF($A69="","","NOT FOUND — check the Components sheet"))</f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f>IFERROR(VLOOKUP($A70,Components!$A:$B,2,FALSE),IF($A70="","","NOT FOUND — check the Components sheet"))</f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</sheetData>
  <autoFilter ref="A1:J70"/>
  <ignoredErrors>
    <ignoredError numberStoredAsText="1" sqref="A1:J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>full_bom_filled</v>
      </c>
      <c r="D1" t="str">
        <v>owner</v>
      </c>
      <c r="E1" t="str">
        <v>status</v>
      </c>
      <c r="F1" t="str">
        <v>notes</v>
      </c>
    </row>
    <row r="2">
      <c r="A2" t="str">
        <v>nGEN005SH</v>
      </c>
      <c r="B2">
        <f>COUNT(Service_Parts!I2:I70)</f>
        <v>0</v>
      </c>
      <c r="C2">
        <f>COUNT(Full_BOM!I2:I70)</f>
        <v>0</v>
      </c>
      <c r="D2" t="str">
        <v/>
      </c>
      <c r="E2" t="str">
        <v/>
      </c>
      <c r="F2" t="str">
        <v/>
      </c>
    </row>
    <row r="3">
      <c r="A3" t="str">
        <v>nGEN007SH</v>
      </c>
      <c r="B3">
        <f>COUNT(Service_Parts!J2:J70)</f>
        <v>0</v>
      </c>
      <c r="C3">
        <f>COUNT(Full_BOM!J2:J70)</f>
        <v>0</v>
      </c>
      <c r="D3" t="str">
        <v/>
      </c>
      <c r="E3" t="str">
        <v/>
      </c>
      <c r="F3" t="str">
        <v/>
      </c>
    </row>
    <row r="4">
      <c r="A4" t="str">
        <v>nGEN010SH</v>
      </c>
      <c r="B4">
        <f>COUNT(Service_Parts!K2:K70)</f>
        <v>0</v>
      </c>
      <c r="C4">
        <f>COUNT(Full_BOM!K2:K70)</f>
        <v>0</v>
      </c>
      <c r="D4" t="str">
        <v/>
      </c>
      <c r="E4" t="str">
        <v/>
      </c>
      <c r="F4" t="str">
        <v/>
      </c>
    </row>
    <row r="5">
      <c r="A5" t="str">
        <v>nGEN055SH</v>
      </c>
      <c r="B5">
        <f>COUNT(Service_Parts!L2:L70)</f>
        <v>0</v>
      </c>
      <c r="C5">
        <f>COUNT(Full_BOM!L2:L70)</f>
        <v>0</v>
      </c>
      <c r="D5" t="str">
        <v/>
      </c>
      <c r="E5" t="str">
        <v/>
      </c>
      <c r="F5" t="str">
        <v/>
      </c>
    </row>
    <row r="6">
      <c r="A6" t="str">
        <v>nGEN085SH</v>
      </c>
      <c r="B6">
        <f>COUNT(Service_Parts!M2:M70)</f>
        <v>0</v>
      </c>
      <c r="C6">
        <f>COUNT(Full_BOM!M2:M70)</f>
        <v>0</v>
      </c>
      <c r="D6" t="str">
        <v/>
      </c>
      <c r="E6" t="str">
        <v/>
      </c>
      <c r="F6" t="str">
        <v/>
      </c>
    </row>
    <row r="7">
      <c r="A7" t="str">
        <v>nGEN120SH</v>
      </c>
      <c r="B7">
        <f>COUNT(Service_Parts!N2:N70)</f>
        <v>0</v>
      </c>
      <c r="C7">
        <f>COUNT(Full_BOM!N2:N70)</f>
        <v>0</v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Read_Me_First</vt:lpstr>
      <vt:lpstr>Service_Parts</vt:lpstr>
      <vt:lpstr>Full_BOM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