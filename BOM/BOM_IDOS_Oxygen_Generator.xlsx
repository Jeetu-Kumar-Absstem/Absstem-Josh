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'Service_Parts'!A1:P117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IDOS Oxygen Generator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8 models and starts with 76 suggested service rows.</v>
      </c>
    </row>
    <row r="41">
      <c r="A41" t="str">
        <v>Models: IDOS 03 B, IDOS 07 B, IDOS 12.5 B, IDOS 18 B, IDOS 25 B, IDOS 30 B, IDOS 40 B, IDOS 45 B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17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1.83203125" customWidth="1"/>
    <col min="10" max="10" width="11.83203125" customWidth="1"/>
    <col min="11" max="11" width="13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IDOS 03 B</v>
      </c>
      <c r="J1" t="str">
        <v>IDOS 07 B</v>
      </c>
      <c r="K1" t="str">
        <v>IDOS 12.5 B</v>
      </c>
      <c r="L1" t="str">
        <v>IDOS 18 B</v>
      </c>
      <c r="M1" t="str">
        <v>IDOS 25 B</v>
      </c>
      <c r="N1" t="str">
        <v>IDOS 30 B</v>
      </c>
      <c r="O1" t="str">
        <v>IDOS 40 B</v>
      </c>
      <c r="P1" t="str">
        <v>IDOS 45 B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>service_log (3x)</v>
      </c>
      <c r="H2" t="str">
        <v>Service fitted "medo filter elements" — supply the item code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>service_log (2x)</v>
      </c>
      <c r="H3" t="str">
        <v>Service fitted "ot sensor" — supply the item code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>service_log (1x)</v>
      </c>
      <c r="H4" t="str">
        <v>Service fitted "silencer element" — supply the item code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>service_log (2x)</v>
      </c>
      <c r="H5" t="str">
        <v>Service fitted "angel valve" — supply the item code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>service_log (1x)</v>
      </c>
      <c r="H6" t="str">
        <v>Service fitted "n2 helium coil ferule" — supply the item code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>service_log (1x)</v>
      </c>
      <c r="H7" t="str">
        <v>Service fitted "helium analyzer" — supply the item code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>service_log (1x)</v>
      </c>
      <c r="H8" t="str">
        <v>Service fitted "sample filter regulator" — supply the item code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>service_log (1x)</v>
      </c>
      <c r="H9" t="str">
        <v>Service fitted "steaker" — supply the item code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>service_log (1x)</v>
      </c>
      <c r="H10" t="str">
        <v>Service fitted "inlet nrc" — supply the item code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>service_log (1x)</v>
      </c>
      <c r="H11" t="str">
        <v>Service fitted "outlet nrv" — supply the item code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>service_log (1x)</v>
      </c>
      <c r="H12" t="str">
        <v>Service fitted "vaccum tank outlet line" — supply the item code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>service_log (1x)</v>
      </c>
      <c r="H13" t="str">
        <v>Service fitted "vaccum pump" — supply the item code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>service_log (2x)</v>
      </c>
      <c r="H14" t="str">
        <v>Service fitted "filter elements" — supply the item code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>service_log (1x)</v>
      </c>
      <c r="H15" t="str">
        <v>Service fitted "pre filter" — supply the item code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>service_log (1x)</v>
      </c>
      <c r="H16" t="str">
        <v>Service fitted "vaccum line filter" — supply the item code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>service_log (1x)</v>
      </c>
      <c r="H17" t="str">
        <v>Service fitted "air filter" — supply the item code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>service_log (1x)</v>
      </c>
      <c r="H18" t="str">
        <v>Service fitted "oil filter" — supply the item code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>service_log (1x)</v>
      </c>
      <c r="H19" t="str">
        <v>Service fitted "coolant oil" — supply the item code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AONAF012C</v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>invoices (1)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AONAF012X</v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>invoices (1)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AONAF012Z</v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>invoices (1)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AONAF058D</v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>invoices (1)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AONAF058X</v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>invoices (1)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AONAF058Z</v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>invoices (1)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AONAF080A</v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>invoices (1)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AONAF080C</v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>invoices (1)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AONAF080O</v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>invoices (1)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AONAF100A</v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>invoices (1)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AONAF100O</v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>invoices (1)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>ASH118</v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>invoices (1)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ASH119</v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>invoices (1)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ASH120</v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>invoices (1)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ASH169</v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>invoices (1)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>ASH171</v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>invoices (1)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>ASH172</v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>invoices (1)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>ASH173</v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>invoices (1)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ASH175</v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>invoices (1)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>ASH176</v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>invoices (1)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>ASH178</v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>invoices (1)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>ASH179</v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>invoices (1)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ASH180</v>
      </c>
      <c r="B42" t="str">
        <f>IFERROR(VLOOKUP($A42,Components!$A:$B,2,FALSE),IF($A42="","","NOT FOUND — check the Components sheet"))</f>
        <v/>
      </c>
      <c r="C42" t="str">
        <v/>
      </c>
      <c r="D42" t="str">
        <v/>
      </c>
      <c r="E42" t="str">
        <v/>
      </c>
      <c r="F42" t="str">
        <v/>
      </c>
      <c r="G42" t="str">
        <v>invoices (1)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>ASH181</v>
      </c>
      <c r="B43" t="str">
        <f>IFERROR(VLOOKUP($A43,Components!$A:$B,2,FALSE),IF($A43="","","NOT FOUND — check the Components sheet"))</f>
        <v/>
      </c>
      <c r="C43" t="str">
        <v/>
      </c>
      <c r="D43" t="str">
        <v/>
      </c>
      <c r="E43" t="str">
        <v/>
      </c>
      <c r="F43" t="str">
        <v/>
      </c>
      <c r="G43" t="str">
        <v>invoices (1)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>ASH182</v>
      </c>
      <c r="B44" t="str">
        <f>IFERROR(VLOOKUP($A44,Components!$A:$B,2,FALSE),IF($A44="","","NOT FOUND — check the Components sheet"))</f>
        <v/>
      </c>
      <c r="C44" t="str">
        <v/>
      </c>
      <c r="D44" t="str">
        <v/>
      </c>
      <c r="E44" t="str">
        <v/>
      </c>
      <c r="F44" t="str">
        <v/>
      </c>
      <c r="G44" t="str">
        <v>invoices (1)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>ASH183</v>
      </c>
      <c r="B45" t="str">
        <f>IFERROR(VLOOKUP($A45,Components!$A:$B,2,FALSE),IF($A45="","","NOT FOUND — check the Components sheet"))</f>
        <v/>
      </c>
      <c r="C45" t="str">
        <v/>
      </c>
      <c r="D45" t="str">
        <v/>
      </c>
      <c r="E45" t="str">
        <v/>
      </c>
      <c r="F45" t="str">
        <v/>
      </c>
      <c r="G45" t="str">
        <v>invoices (1)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>ASH184</v>
      </c>
      <c r="B46" t="str">
        <f>IFERROR(VLOOKUP($A46,Components!$A:$B,2,FALSE),IF($A46="","","NOT FOUND — check the Components sheet"))</f>
        <v/>
      </c>
      <c r="C46" t="str">
        <v/>
      </c>
      <c r="D46" t="str">
        <v/>
      </c>
      <c r="E46" t="str">
        <v/>
      </c>
      <c r="F46" t="str">
        <v/>
      </c>
      <c r="G46" t="str">
        <v>invoices (1)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>ASH185</v>
      </c>
      <c r="B47" t="str">
        <f>IFERROR(VLOOKUP($A47,Components!$A:$B,2,FALSE),IF($A47="","","NOT FOUND — check the Components sheet"))</f>
        <v/>
      </c>
      <c r="C47" t="str">
        <v/>
      </c>
      <c r="D47" t="str">
        <v/>
      </c>
      <c r="E47" t="str">
        <v/>
      </c>
      <c r="F47" t="str">
        <v/>
      </c>
      <c r="G47" t="str">
        <v>invoices (1)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>ASH186</v>
      </c>
      <c r="B48" t="str">
        <f>IFERROR(VLOOKUP($A48,Components!$A:$B,2,FALSE),IF($A48="","","NOT FOUND — check the Components sheet"))</f>
        <v/>
      </c>
      <c r="C48" t="str">
        <v/>
      </c>
      <c r="D48" t="str">
        <v/>
      </c>
      <c r="E48" t="str">
        <v/>
      </c>
      <c r="F48" t="str">
        <v/>
      </c>
      <c r="G48" t="str">
        <v>invoices (1)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>ASH187</v>
      </c>
      <c r="B49" t="str">
        <f>IFERROR(VLOOKUP($A49,Components!$A:$B,2,FALSE),IF($A49="","","NOT FOUND — check the Components sheet"))</f>
        <v/>
      </c>
      <c r="C49" t="str">
        <v/>
      </c>
      <c r="D49" t="str">
        <v/>
      </c>
      <c r="E49" t="str">
        <v/>
      </c>
      <c r="F49" t="str">
        <v/>
      </c>
      <c r="G49" t="str">
        <v>invoices (1)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>ASH188</v>
      </c>
      <c r="B50" t="str">
        <f>IFERROR(VLOOKUP($A50,Components!$A:$B,2,FALSE),IF($A50="","","NOT FOUND — check the Components sheet"))</f>
        <v/>
      </c>
      <c r="C50" t="str">
        <v/>
      </c>
      <c r="D50" t="str">
        <v/>
      </c>
      <c r="E50" t="str">
        <v/>
      </c>
      <c r="F50" t="str">
        <v/>
      </c>
      <c r="G50" t="str">
        <v>invoices (1)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>ASH189</v>
      </c>
      <c r="B51" t="str">
        <f>IFERROR(VLOOKUP($A51,Components!$A:$B,2,FALSE),IF($A51="","","NOT FOUND — check the Components sheet"))</f>
        <v/>
      </c>
      <c r="C51" t="str">
        <v/>
      </c>
      <c r="D51" t="str">
        <v/>
      </c>
      <c r="E51" t="str">
        <v/>
      </c>
      <c r="F51" t="str">
        <v/>
      </c>
      <c r="G51" t="str">
        <v>invoices (1)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>ASH193</v>
      </c>
      <c r="B52" t="str">
        <f>IFERROR(VLOOKUP($A52,Components!$A:$B,2,FALSE),IF($A52="","","NOT FOUND — check the Components sheet"))</f>
        <v/>
      </c>
      <c r="C52" t="str">
        <v/>
      </c>
      <c r="D52" t="str">
        <v/>
      </c>
      <c r="E52" t="str">
        <v/>
      </c>
      <c r="F52" t="str">
        <v/>
      </c>
      <c r="G52" t="str">
        <v>invoices (1)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>ASH235</v>
      </c>
      <c r="B53" t="str">
        <f>IFERROR(VLOOKUP($A53,Components!$A:$B,2,FALSE),IF($A53="","","NOT FOUND — check the Components sheet"))</f>
        <v/>
      </c>
      <c r="C53" t="str">
        <v/>
      </c>
      <c r="D53" t="str">
        <v/>
      </c>
      <c r="E53" t="str">
        <v/>
      </c>
      <c r="F53" t="str">
        <v/>
      </c>
      <c r="G53" t="str">
        <v>invoices (1)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>ASH242</v>
      </c>
      <c r="B54" t="str">
        <f>IFERROR(VLOOKUP($A54,Components!$A:$B,2,FALSE),IF($A54="","","NOT FOUND — check the Components sheet"))</f>
        <v/>
      </c>
      <c r="C54" t="str">
        <v/>
      </c>
      <c r="D54" t="str">
        <v/>
      </c>
      <c r="E54" t="str">
        <v/>
      </c>
      <c r="F54" t="str">
        <v/>
      </c>
      <c r="G54" t="str">
        <v>invoices (1)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>ASH245</v>
      </c>
      <c r="B55" t="str">
        <f>IFERROR(VLOOKUP($A55,Components!$A:$B,2,FALSE),IF($A55="","","NOT FOUND — check the Components sheet"))</f>
        <v/>
      </c>
      <c r="C55" t="str">
        <v/>
      </c>
      <c r="D55" t="str">
        <v/>
      </c>
      <c r="E55" t="str">
        <v/>
      </c>
      <c r="F55" t="str">
        <v/>
      </c>
      <c r="G55" t="str">
        <v>invoices (1)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>ASH246</v>
      </c>
      <c r="B56" t="str">
        <f>IFERROR(VLOOKUP($A56,Components!$A:$B,2,FALSE),IF($A56="","","NOT FOUND — check the Components sheet"))</f>
        <v/>
      </c>
      <c r="C56" t="str">
        <v/>
      </c>
      <c r="D56" t="str">
        <v/>
      </c>
      <c r="E56" t="str">
        <v/>
      </c>
      <c r="F56" t="str">
        <v/>
      </c>
      <c r="G56" t="str">
        <v>invoices (1)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>ASH247</v>
      </c>
      <c r="B57" t="str">
        <f>IFERROR(VLOOKUP($A57,Components!$A:$B,2,FALSE),IF($A57="","","NOT FOUND — check the Components sheet"))</f>
        <v/>
      </c>
      <c r="C57" t="str">
        <v/>
      </c>
      <c r="D57" t="str">
        <v/>
      </c>
      <c r="E57" t="str">
        <v/>
      </c>
      <c r="F57" t="str">
        <v/>
      </c>
      <c r="G57" t="str">
        <v>invoices (1)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>ASH248</v>
      </c>
      <c r="B58" t="str">
        <f>IFERROR(VLOOKUP($A58,Components!$A:$B,2,FALSE),IF($A58="","","NOT FOUND — check the Components sheet"))</f>
        <v/>
      </c>
      <c r="C58" t="str">
        <v/>
      </c>
      <c r="D58" t="str">
        <v/>
      </c>
      <c r="E58" t="str">
        <v/>
      </c>
      <c r="F58" t="str">
        <v/>
      </c>
      <c r="G58" t="str">
        <v>invoices (1)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>ASH249</v>
      </c>
      <c r="B59" t="str">
        <f>IFERROR(VLOOKUP($A59,Components!$A:$B,2,FALSE),IF($A59="","","NOT FOUND — check the Components sheet"))</f>
        <v/>
      </c>
      <c r="C59" t="str">
        <v/>
      </c>
      <c r="D59" t="str">
        <v/>
      </c>
      <c r="E59" t="str">
        <v/>
      </c>
      <c r="F59" t="str">
        <v/>
      </c>
      <c r="G59" t="str">
        <v>invoices (1)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>ASH250</v>
      </c>
      <c r="B60" t="str">
        <f>IFERROR(VLOOKUP($A60,Components!$A:$B,2,FALSE),IF($A60="","","NOT FOUND — check the Components sheet"))</f>
        <v/>
      </c>
      <c r="C60" t="str">
        <v/>
      </c>
      <c r="D60" t="str">
        <v/>
      </c>
      <c r="E60" t="str">
        <v/>
      </c>
      <c r="F60" t="str">
        <v/>
      </c>
      <c r="G60" t="str">
        <v>invoices (1)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>ASH251</v>
      </c>
      <c r="B61" t="str">
        <f>IFERROR(VLOOKUP($A61,Components!$A:$B,2,FALSE),IF($A61="","","NOT FOUND — check the Components sheet"))</f>
        <v/>
      </c>
      <c r="C61" t="str">
        <v/>
      </c>
      <c r="D61" t="str">
        <v/>
      </c>
      <c r="E61" t="str">
        <v/>
      </c>
      <c r="F61" t="str">
        <v/>
      </c>
      <c r="G61" t="str">
        <v>invoices (1)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>ASH252</v>
      </c>
      <c r="B62" t="str">
        <f>IFERROR(VLOOKUP($A62,Components!$A:$B,2,FALSE),IF($A62="","","NOT FOUND — check the Components sheet"))</f>
        <v/>
      </c>
      <c r="C62" t="str">
        <v/>
      </c>
      <c r="D62" t="str">
        <v/>
      </c>
      <c r="E62" t="str">
        <v/>
      </c>
      <c r="F62" t="str">
        <v/>
      </c>
      <c r="G62" t="str">
        <v>invoices (1)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>ASH253</v>
      </c>
      <c r="B63" t="str">
        <f>IFERROR(VLOOKUP($A63,Components!$A:$B,2,FALSE),IF($A63="","","NOT FOUND — check the Components sheet"))</f>
        <v/>
      </c>
      <c r="C63" t="str">
        <v/>
      </c>
      <c r="D63" t="str">
        <v/>
      </c>
      <c r="E63" t="str">
        <v/>
      </c>
      <c r="F63" t="str">
        <v/>
      </c>
      <c r="G63" t="str">
        <v>invoices (1)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ASH254</v>
      </c>
      <c r="B64" t="str">
        <f>IFERROR(VLOOKUP($A64,Components!$A:$B,2,FALSE),IF($A64="","","NOT FOUND — check the Components sheet"))</f>
        <v/>
      </c>
      <c r="C64" t="str">
        <v/>
      </c>
      <c r="D64" t="str">
        <v/>
      </c>
      <c r="E64" t="str">
        <v/>
      </c>
      <c r="F64" t="str">
        <v/>
      </c>
      <c r="G64" t="str">
        <v>invoices (1)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>ASH255</v>
      </c>
      <c r="B65" t="str">
        <f>IFERROR(VLOOKUP($A65,Components!$A:$B,2,FALSE),IF($A65="","","NOT FOUND — check the Components sheet"))</f>
        <v/>
      </c>
      <c r="C65" t="str">
        <v/>
      </c>
      <c r="D65" t="str">
        <v/>
      </c>
      <c r="E65" t="str">
        <v/>
      </c>
      <c r="F65" t="str">
        <v/>
      </c>
      <c r="G65" t="str">
        <v>invoices (1)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>ASH278</v>
      </c>
      <c r="B66" t="str">
        <f>IFERROR(VLOOKUP($A66,Components!$A:$B,2,FALSE),IF($A66="","","NOT FOUND — check the Components sheet"))</f>
        <v/>
      </c>
      <c r="C66" t="str">
        <v/>
      </c>
      <c r="D66" t="str">
        <v/>
      </c>
      <c r="E66" t="str">
        <v/>
      </c>
      <c r="F66" t="str">
        <v/>
      </c>
      <c r="G66" t="str">
        <v>invoices (1)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>ASH305</v>
      </c>
      <c r="B67" t="str">
        <f>IFERROR(VLOOKUP($A67,Components!$A:$B,2,FALSE),IF($A67="","","NOT FOUND — check the Components sheet"))</f>
        <v/>
      </c>
      <c r="C67" t="str">
        <v/>
      </c>
      <c r="D67" t="str">
        <v/>
      </c>
      <c r="E67" t="str">
        <v/>
      </c>
      <c r="F67" t="str">
        <v/>
      </c>
      <c r="G67" t="str">
        <v>invoices (1)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>ASH48</v>
      </c>
      <c r="B68" t="str">
        <f>IFERROR(VLOOKUP($A68,Components!$A:$B,2,FALSE),IF($A68="","","NOT FOUND — check the Components sheet"))</f>
        <v/>
      </c>
      <c r="C68" t="str">
        <v/>
      </c>
      <c r="D68" t="str">
        <v/>
      </c>
      <c r="E68" t="str">
        <v/>
      </c>
      <c r="F68" t="str">
        <v/>
      </c>
      <c r="G68" t="str">
        <v>invoices (1)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>ASH49</v>
      </c>
      <c r="B69" t="str">
        <f>IFERROR(VLOOKUP($A69,Components!$A:$B,2,FALSE),IF($A69="","","NOT FOUND — check the Components sheet"))</f>
        <v/>
      </c>
      <c r="C69" t="str">
        <v/>
      </c>
      <c r="D69" t="str">
        <v/>
      </c>
      <c r="E69" t="str">
        <v/>
      </c>
      <c r="F69" t="str">
        <v/>
      </c>
      <c r="G69" t="str">
        <v>invoices (1)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>ASH55</v>
      </c>
      <c r="B70" t="str">
        <f>IFERROR(VLOOKUP($A70,Components!$A:$B,2,FALSE),IF($A70="","","NOT FOUND — check the Components sheet"))</f>
        <v/>
      </c>
      <c r="C70" t="str">
        <v/>
      </c>
      <c r="D70" t="str">
        <v/>
      </c>
      <c r="E70" t="str">
        <v/>
      </c>
      <c r="F70" t="str">
        <v/>
      </c>
      <c r="G70" t="str">
        <v>invoices (1)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>ASH56</v>
      </c>
      <c r="B71" t="str">
        <f>IFERROR(VLOOKUP($A71,Components!$A:$B,2,FALSE),IF($A71="","","NOT FOUND — check the Components sheet"))</f>
        <v/>
      </c>
      <c r="C71" t="str">
        <v/>
      </c>
      <c r="D71" t="str">
        <v/>
      </c>
      <c r="E71" t="str">
        <v/>
      </c>
      <c r="F71" t="str">
        <v/>
      </c>
      <c r="G71" t="str">
        <v>invoices (1)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>ASH68</v>
      </c>
      <c r="B72" t="str">
        <f>IFERROR(VLOOKUP($A72,Components!$A:$B,2,FALSE),IF($A72="","","NOT FOUND — check the Components sheet"))</f>
        <v/>
      </c>
      <c r="C72" t="str">
        <v/>
      </c>
      <c r="D72" t="str">
        <v/>
      </c>
      <c r="E72" t="str">
        <v/>
      </c>
      <c r="F72" t="str">
        <v/>
      </c>
      <c r="G72" t="str">
        <v>invoices (1)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>ASH69</v>
      </c>
      <c r="B73" t="str">
        <f>IFERROR(VLOOKUP($A73,Components!$A:$B,2,FALSE),IF($A73="","","NOT FOUND — check the Components sheet"))</f>
        <v/>
      </c>
      <c r="C73" t="str">
        <v/>
      </c>
      <c r="D73" t="str">
        <v/>
      </c>
      <c r="E73" t="str">
        <v/>
      </c>
      <c r="F73" t="str">
        <v/>
      </c>
      <c r="G73" t="str">
        <v>invoices (1)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ASH70</v>
      </c>
      <c r="B74" t="str">
        <f>IFERROR(VLOOKUP($A74,Components!$A:$B,2,FALSE),IF($A74="","","NOT FOUND — check the Components sheet"))</f>
        <v/>
      </c>
      <c r="C74" t="str">
        <v/>
      </c>
      <c r="D74" t="str">
        <v/>
      </c>
      <c r="E74" t="str">
        <v/>
      </c>
      <c r="F74" t="str">
        <v/>
      </c>
      <c r="G74" t="str">
        <v>invoices (1)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>ASH71</v>
      </c>
      <c r="B75" t="str">
        <f>IFERROR(VLOOKUP($A75,Components!$A:$B,2,FALSE),IF($A75="","","NOT FOUND — check the Components sheet"))</f>
        <v/>
      </c>
      <c r="C75" t="str">
        <v/>
      </c>
      <c r="D75" t="str">
        <v/>
      </c>
      <c r="E75" t="str">
        <v/>
      </c>
      <c r="F75" t="str">
        <v/>
      </c>
      <c r="G75" t="str">
        <v>invoices (1)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>ASH81</v>
      </c>
      <c r="B76" t="str">
        <f>IFERROR(VLOOKUP($A76,Components!$A:$B,2,FALSE),IF($A76="","","NOT FOUND — check the Components sheet"))</f>
        <v/>
      </c>
      <c r="C76" t="str">
        <v/>
      </c>
      <c r="D76" t="str">
        <v/>
      </c>
      <c r="E76" t="str">
        <v/>
      </c>
      <c r="F76" t="str">
        <v/>
      </c>
      <c r="G76" t="str">
        <v>invoices (1)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>CON8</v>
      </c>
      <c r="B77" t="str">
        <f>IFERROR(VLOOKUP($A77,Components!$A:$B,2,FALSE),IF($A77="","","NOT FOUND — check the Components sheet"))</f>
        <v/>
      </c>
      <c r="C77" t="str">
        <v/>
      </c>
      <c r="D77" t="str">
        <v/>
      </c>
      <c r="E77" t="str">
        <v/>
      </c>
      <c r="F77" t="str">
        <v/>
      </c>
      <c r="G77" t="str">
        <v>invoices (1)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/>
      </c>
      <c r="B78" t="str">
        <f>IFERROR(VLOOKUP($A78,Components!$A:$B,2,FALSE),IF($A78="","","NOT FOUND — check the Components sheet"))</f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/>
      </c>
      <c r="B79" t="str">
        <f>IFERROR(VLOOKUP($A79,Components!$A:$B,2,FALSE),IF($A79="","","NOT FOUND — check the Components sheet"))</f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/>
      </c>
      <c r="B80" t="str">
        <f>IFERROR(VLOOKUP($A80,Components!$A:$B,2,FALSE),IF($A80="","","NOT FOUND — check the Components sheet"))</f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/>
      </c>
      <c r="B81" t="str">
        <f>IFERROR(VLOOKUP($A81,Components!$A:$B,2,FALSE),IF($A81="","","NOT FOUND — check the Components sheet"))</f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/>
      </c>
      <c r="B82" t="str">
        <f>IFERROR(VLOOKUP($A82,Components!$A:$B,2,FALSE),IF($A82="","","NOT FOUND — check the Components sheet"))</f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/>
      </c>
      <c r="B83" t="str">
        <f>IFERROR(VLOOKUP($A83,Components!$A:$B,2,FALSE),IF($A83="","","NOT FOUND — check the Components sheet"))</f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/>
      </c>
      <c r="B84" t="str">
        <f>IFERROR(VLOOKUP($A84,Components!$A:$B,2,FALSE),IF($A84="","","NOT FOUND — check the Components sheet"))</f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/>
      </c>
      <c r="B85" t="str">
        <f>IFERROR(VLOOKUP($A85,Components!$A:$B,2,FALSE),IF($A85="","","NOT FOUND — check the Components sheet"))</f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/>
      </c>
      <c r="B86" t="str">
        <f>IFERROR(VLOOKUP($A86,Components!$A:$B,2,FALSE),IF($A86="","","NOT FOUND — check the Components sheet"))</f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/>
      </c>
      <c r="B87" t="str">
        <f>IFERROR(VLOOKUP($A87,Components!$A:$B,2,FALSE),IF($A87="","","NOT FOUND — check the Components sheet"))</f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/>
      </c>
      <c r="B88" t="str">
        <f>IFERROR(VLOOKUP($A88,Components!$A:$B,2,FALSE),IF($A88="","","NOT FOUND — check the Components sheet"))</f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/>
      </c>
      <c r="B89" t="str">
        <f>IFERROR(VLOOKUP($A89,Components!$A:$B,2,FALSE),IF($A89="","","NOT FOUND — check the Components sheet"))</f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/>
      </c>
      <c r="B90" t="str">
        <f>IFERROR(VLOOKUP($A90,Components!$A:$B,2,FALSE),IF($A90="","","NOT FOUND — check the Components sheet"))</f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/>
      </c>
      <c r="B91" t="str">
        <f>IFERROR(VLOOKUP($A91,Components!$A:$B,2,FALSE),IF($A91="","","NOT FOUND — check the Components sheet"))</f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 t="str">
        <v/>
      </c>
      <c r="B92" t="str">
        <f>IFERROR(VLOOKUP($A92,Components!$A:$B,2,FALSE),IF($A92="","","NOT FOUND — check the Components sheet"))</f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/>
      </c>
      <c r="B93" t="str">
        <f>IFERROR(VLOOKUP($A93,Components!$A:$B,2,FALSE),IF($A93="","","NOT FOUND — check the Components sheet"))</f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 t="str">
        <v/>
      </c>
      <c r="B94" t="str">
        <f>IFERROR(VLOOKUP($A94,Components!$A:$B,2,FALSE),IF($A94="","","NOT FOUND — check the Components sheet"))</f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 t="str">
        <v/>
      </c>
      <c r="B95" t="str">
        <f>IFERROR(VLOOKUP($A95,Components!$A:$B,2,FALSE),IF($A95="","","NOT FOUND — check the Components sheet"))</f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 t="str">
        <v/>
      </c>
      <c r="B96" t="str">
        <f>IFERROR(VLOOKUP($A96,Components!$A:$B,2,FALSE),IF($A96="","","NOT FOUND — check the Components sheet"))</f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 t="str">
        <v/>
      </c>
      <c r="B97" t="str">
        <f>IFERROR(VLOOKUP($A97,Components!$A:$B,2,FALSE),IF($A97="","","NOT FOUND — check the Components sheet"))</f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</row>
    <row r="98">
      <c r="A98" t="str">
        <v/>
      </c>
      <c r="B98" t="str">
        <f>IFERROR(VLOOKUP($A98,Components!$A:$B,2,FALSE),IF($A98="","","NOT FOUND — check the Components sheet"))</f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 t="str">
        <v/>
      </c>
      <c r="B99" t="str">
        <f>IFERROR(VLOOKUP($A99,Components!$A:$B,2,FALSE),IF($A99="","","NOT FOUND — check the Components sheet"))</f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</row>
    <row r="100">
      <c r="A100" t="str">
        <v/>
      </c>
      <c r="B100" t="str">
        <f>IFERROR(VLOOKUP($A100,Components!$A:$B,2,FALSE),IF($A100="","","NOT FOUND — check the Components sheet"))</f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</row>
    <row r="101">
      <c r="A101" t="str">
        <v/>
      </c>
      <c r="B101" t="str">
        <f>IFERROR(VLOOKUP($A101,Components!$A:$B,2,FALSE),IF($A101="","","NOT FOUND — check the Components sheet"))</f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</row>
    <row r="102">
      <c r="A102" t="str">
        <v/>
      </c>
      <c r="B102" t="str">
        <f>IFERROR(VLOOKUP($A102,Components!$A:$B,2,FALSE),IF($A102="","","NOT FOUND — check the Components sheet"))</f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/>
      </c>
      <c r="B103" t="str">
        <f>IFERROR(VLOOKUP($A103,Components!$A:$B,2,FALSE),IF($A103="","","NOT FOUND — check the Components sheet"))</f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/>
      </c>
      <c r="B104" t="str">
        <f>IFERROR(VLOOKUP($A104,Components!$A:$B,2,FALSE),IF($A104="","","NOT FOUND — check the Components sheet"))</f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/>
      </c>
      <c r="B105" t="str">
        <f>IFERROR(VLOOKUP($A105,Components!$A:$B,2,FALSE),IF($A105="","","NOT FOUND — check the Components sheet"))</f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</row>
    <row r="106">
      <c r="A106" t="str">
        <v/>
      </c>
      <c r="B106" t="str">
        <f>IFERROR(VLOOKUP($A106,Components!$A:$B,2,FALSE),IF($A106="","","NOT FOUND — check the Components sheet"))</f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</row>
    <row r="107">
      <c r="A107" t="str">
        <v/>
      </c>
      <c r="B107" t="str">
        <f>IFERROR(VLOOKUP($A107,Components!$A:$B,2,FALSE),IF($A107="","","NOT FOUND — check the Components sheet"))</f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/>
      </c>
      <c r="B108" t="str">
        <f>IFERROR(VLOOKUP($A108,Components!$A:$B,2,FALSE),IF($A108="","","NOT FOUND — check the Components sheet"))</f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/>
      </c>
      <c r="B109" t="str">
        <f>IFERROR(VLOOKUP($A109,Components!$A:$B,2,FALSE),IF($A109="","","NOT FOUND — check the Components sheet"))</f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</row>
    <row r="110">
      <c r="A110" t="str">
        <v/>
      </c>
      <c r="B110" t="str">
        <f>IFERROR(VLOOKUP($A110,Components!$A:$B,2,FALSE),IF($A110="","","NOT FOUND — check the Components sheet"))</f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1">
      <c r="A111" t="str">
        <v/>
      </c>
      <c r="B111" t="str">
        <f>IFERROR(VLOOKUP($A111,Components!$A:$B,2,FALSE),IF($A111="","","NOT FOUND — check the Components sheet"))</f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/>
      </c>
      <c r="B112" t="str">
        <f>IFERROR(VLOOKUP($A112,Components!$A:$B,2,FALSE),IF($A112="","","NOT FOUND — check the Components sheet"))</f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</row>
    <row r="113">
      <c r="A113" t="str">
        <v/>
      </c>
      <c r="B113" t="str">
        <f>IFERROR(VLOOKUP($A113,Components!$A:$B,2,FALSE),IF($A113="","","NOT FOUND — check the Components sheet"))</f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/>
      </c>
      <c r="B114" t="str">
        <f>IFERROR(VLOOKUP($A114,Components!$A:$B,2,FALSE),IF($A114="","","NOT FOUND — check the Components sheet"))</f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/>
      </c>
      <c r="B115" t="str">
        <f>IFERROR(VLOOKUP($A115,Components!$A:$B,2,FALSE),IF($A115="","","NOT FOUND — check the Components sheet"))</f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 t="str">
        <v/>
      </c>
      <c r="B116" t="str">
        <f>IFERROR(VLOOKUP($A116,Components!$A:$B,2,FALSE),IF($A116="","","NOT FOUND — check the Components sheet"))</f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/>
      </c>
      <c r="B117" t="str">
        <f>IFERROR(VLOOKUP($A117,Components!$A:$B,2,FALSE),IF($A117="","","NOT FOUND — check the Components sheet"))</f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</sheetData>
  <autoFilter ref="A1:P117"/>
  <ignoredErrors>
    <ignoredError numberStoredAsText="1" sqref="A1:P1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IDOS 03 B</v>
      </c>
      <c r="B2">
        <f>COUNT(Service_Parts!I2:I117)</f>
        <v>0</v>
      </c>
      <c r="C2" t="str">
        <v/>
      </c>
      <c r="D2" t="str">
        <v/>
      </c>
      <c r="E2" t="str">
        <v/>
      </c>
      <c r="F2" t="str">
        <v/>
      </c>
    </row>
    <row r="3">
      <c r="A3" t="str">
        <v>IDOS 07 B</v>
      </c>
      <c r="B3">
        <f>COUNT(Service_Parts!J2:J117)</f>
        <v>0</v>
      </c>
      <c r="C3" t="str">
        <v/>
      </c>
      <c r="D3" t="str">
        <v/>
      </c>
      <c r="E3" t="str">
        <v/>
      </c>
      <c r="F3" t="str">
        <v/>
      </c>
    </row>
    <row r="4">
      <c r="A4" t="str">
        <v>IDOS 12.5 B</v>
      </c>
      <c r="B4">
        <f>COUNT(Service_Parts!K2:K117)</f>
        <v>0</v>
      </c>
      <c r="C4" t="str">
        <v/>
      </c>
      <c r="D4" t="str">
        <v/>
      </c>
      <c r="E4" t="str">
        <v/>
      </c>
      <c r="F4" t="str">
        <v/>
      </c>
    </row>
    <row r="5">
      <c r="A5" t="str">
        <v>IDOS 18 B</v>
      </c>
      <c r="B5">
        <f>COUNT(Service_Parts!L2:L117)</f>
        <v>0</v>
      </c>
      <c r="C5" t="str">
        <v/>
      </c>
      <c r="D5" t="str">
        <v/>
      </c>
      <c r="E5" t="str">
        <v/>
      </c>
      <c r="F5" t="str">
        <v/>
      </c>
    </row>
    <row r="6">
      <c r="A6" t="str">
        <v>IDOS 25 B</v>
      </c>
      <c r="B6">
        <f>COUNT(Service_Parts!M2:M117)</f>
        <v>0</v>
      </c>
      <c r="C6" t="str">
        <v/>
      </c>
      <c r="D6" t="str">
        <v/>
      </c>
      <c r="E6" t="str">
        <v/>
      </c>
      <c r="F6" t="str">
        <v/>
      </c>
    </row>
    <row r="7">
      <c r="A7" t="str">
        <v>IDOS 30 B</v>
      </c>
      <c r="B7">
        <f>COUNT(Service_Parts!N2:N117)</f>
        <v>0</v>
      </c>
      <c r="C7" t="str">
        <v/>
      </c>
      <c r="D7" t="str">
        <v/>
      </c>
      <c r="E7" t="str">
        <v/>
      </c>
      <c r="F7" t="str">
        <v/>
      </c>
    </row>
    <row r="8">
      <c r="A8" t="str">
        <v>IDOS 40 B</v>
      </c>
      <c r="B8">
        <f>COUNT(Service_Parts!O2:O117)</f>
        <v>0</v>
      </c>
      <c r="C8" t="str">
        <v/>
      </c>
      <c r="D8" t="str">
        <v/>
      </c>
      <c r="E8" t="str">
        <v/>
      </c>
      <c r="F8" t="str">
        <v/>
      </c>
    </row>
    <row r="9">
      <c r="A9" t="str">
        <v>IDOS 45 B</v>
      </c>
      <c r="B9">
        <f>COUNT(Service_Parts!P2:P117)</f>
        <v>0</v>
      </c>
      <c r="C9" t="str">
        <v/>
      </c>
      <c r="D9" t="str">
        <v/>
      </c>
      <c r="E9" t="str">
        <v/>
      </c>
      <c r="F9" t="str">
        <v/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